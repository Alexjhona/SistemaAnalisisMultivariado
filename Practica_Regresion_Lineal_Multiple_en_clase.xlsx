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\Downloads\"/>
    </mc:Choice>
  </mc:AlternateContent>
  <xr:revisionPtr revIDLastSave="0" documentId="8_{CAB3E795-3D7B-4D8A-A71C-F82E9FB4C848}" xr6:coauthVersionLast="47" xr6:coauthVersionMax="47" xr10:uidLastSave="{00000000-0000-0000-0000-000000000000}"/>
  <bookViews>
    <workbookView xWindow="-108" yWindow="-108" windowWidth="23256" windowHeight="12456" xr2:uid="{3145414D-4EC8-4A0E-A3D9-1BFD51E284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1" i="1" l="1"/>
  <c r="I58" i="1" a="1"/>
  <c r="I58" i="1" s="1"/>
  <c r="G48" i="1" a="1"/>
  <c r="G48" i="1" s="1"/>
  <c r="G40" i="1" a="1"/>
  <c r="G40" i="1" s="1"/>
  <c r="G32" i="1" a="1"/>
  <c r="G32" i="1" s="1"/>
  <c r="G24" i="1" a="1"/>
  <c r="G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<sst xmlns="http://schemas.openxmlformats.org/spreadsheetml/2006/main" count="34" uniqueCount="33">
  <si>
    <t>Intercepto (B)</t>
  </si>
  <si>
    <t>Usuarios (X1)</t>
  </si>
  <si>
    <t>CPU % (X2)</t>
  </si>
  <si>
    <t>RAM GB (X3)</t>
  </si>
  <si>
    <t>Tiempo ms (Y)</t>
  </si>
  <si>
    <t>Matriz x</t>
  </si>
  <si>
    <t>Matriz Xt</t>
  </si>
  <si>
    <t>Matriz Y</t>
  </si>
  <si>
    <t>Matriz Xt * X</t>
  </si>
  <si>
    <t>Matriz (Xt * X)^-1</t>
  </si>
  <si>
    <t>Matriz (Xt * X)^-1 * Xt</t>
  </si>
  <si>
    <t>B = (Xt * X)^-1 * Xt * Y</t>
  </si>
  <si>
    <t>Coeficientes B</t>
  </si>
  <si>
    <t>B0</t>
  </si>
  <si>
    <t>B1</t>
  </si>
  <si>
    <t>B2</t>
  </si>
  <si>
    <t>B3</t>
  </si>
  <si>
    <t>Modelo:</t>
  </si>
  <si>
    <t>Y = B0 + B1X1 + B2X2 + B3X3</t>
  </si>
  <si>
    <t>Y = -0.9375 + 1.40625X1 - 1X2 + 10.9375X3</t>
  </si>
  <si>
    <t>X1 = Usuarios</t>
  </si>
  <si>
    <t>X2 = CPU</t>
  </si>
  <si>
    <t>X3 = RAM</t>
  </si>
  <si>
    <t>Y = Tiempo de respuesta en ms</t>
  </si>
  <si>
    <t>Dato</t>
  </si>
  <si>
    <t>Valor</t>
  </si>
  <si>
    <t>X1 Usuarios</t>
  </si>
  <si>
    <t>X2 CPU</t>
  </si>
  <si>
    <t>X3 RAM</t>
  </si>
  <si>
    <t>Resultado</t>
  </si>
  <si>
    <t>Y estimado</t>
  </si>
  <si>
    <t>ms</t>
  </si>
  <si>
    <t>El modelo estima un tiempo de respuesta aproximado de 146.07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</si>
</sst>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2" borderId="0" xfId="0" applyFill="1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00BD-EE91-4CE3-B759-B587E520EEE3}">
  <dimension ref="G5:L84"/>
  <sheetViews>
    <sheetView tabSelected="1" zoomScale="85" zoomScaleNormal="85" workbookViewId="0">
      <selection activeCell="E85" sqref="E85"/>
    </sheetView>
  </sheetViews>
  <sheetFormatPr baseColWidth="10" defaultRowHeight="14.4" x14ac:dyDescent="0.3"/>
  <cols>
    <col min="8" max="8" width="14" customWidth="1"/>
  </cols>
  <sheetData>
    <row r="5" spans="7:12" ht="28.8" x14ac:dyDescent="0.3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</row>
    <row r="6" spans="7:12" x14ac:dyDescent="0.3">
      <c r="G6" s="2">
        <v>1</v>
      </c>
      <c r="H6" s="2">
        <v>10</v>
      </c>
      <c r="I6" s="2">
        <v>30</v>
      </c>
      <c r="J6" s="2">
        <v>4</v>
      </c>
      <c r="K6" s="2">
        <v>90</v>
      </c>
    </row>
    <row r="7" spans="7:12" x14ac:dyDescent="0.3">
      <c r="G7" s="2">
        <v>1</v>
      </c>
      <c r="H7" s="2">
        <v>20</v>
      </c>
      <c r="I7" s="2">
        <v>45</v>
      </c>
      <c r="J7" s="2">
        <v>6</v>
      </c>
      <c r="K7" s="2">
        <v>135</v>
      </c>
    </row>
    <row r="8" spans="7:12" x14ac:dyDescent="0.3">
      <c r="G8" s="2">
        <v>1</v>
      </c>
      <c r="H8" s="2">
        <v>30</v>
      </c>
      <c r="I8" s="2">
        <v>60</v>
      </c>
      <c r="J8" s="2">
        <v>8</v>
      </c>
      <c r="K8" s="2">
        <v>180</v>
      </c>
    </row>
    <row r="9" spans="7:12" x14ac:dyDescent="0.3">
      <c r="G9" s="2">
        <v>1</v>
      </c>
      <c r="H9" s="2">
        <v>40</v>
      </c>
      <c r="I9" s="2">
        <v>70</v>
      </c>
      <c r="J9" s="2">
        <v>10</v>
      </c>
      <c r="K9" s="2">
        <v>230</v>
      </c>
    </row>
    <row r="10" spans="7:12" x14ac:dyDescent="0.3">
      <c r="G10" s="2">
        <v>1</v>
      </c>
      <c r="H10" s="2">
        <v>50</v>
      </c>
      <c r="I10" s="2">
        <v>85</v>
      </c>
      <c r="J10" s="2">
        <v>12</v>
      </c>
      <c r="K10" s="2">
        <v>290</v>
      </c>
    </row>
    <row r="13" spans="7:12" x14ac:dyDescent="0.3">
      <c r="G13" s="12" t="s">
        <v>5</v>
      </c>
      <c r="L13" s="12" t="s">
        <v>7</v>
      </c>
    </row>
    <row r="15" spans="7:12" x14ac:dyDescent="0.3">
      <c r="G15" s="2">
        <v>1</v>
      </c>
      <c r="H15" s="2">
        <v>10</v>
      </c>
      <c r="I15" s="2">
        <v>30</v>
      </c>
      <c r="J15" s="2">
        <v>4</v>
      </c>
      <c r="L15" s="3">
        <v>90</v>
      </c>
    </row>
    <row r="16" spans="7:12" x14ac:dyDescent="0.3">
      <c r="G16" s="2">
        <v>1</v>
      </c>
      <c r="H16" s="2">
        <v>20</v>
      </c>
      <c r="I16" s="2">
        <v>45</v>
      </c>
      <c r="J16" s="2">
        <v>6</v>
      </c>
      <c r="L16" s="3">
        <v>135</v>
      </c>
    </row>
    <row r="17" spans="7:12" x14ac:dyDescent="0.3">
      <c r="G17" s="2">
        <v>1</v>
      </c>
      <c r="H17" s="2">
        <v>30</v>
      </c>
      <c r="I17" s="2">
        <v>60</v>
      </c>
      <c r="J17" s="2">
        <v>8</v>
      </c>
      <c r="L17" s="3">
        <v>180</v>
      </c>
    </row>
    <row r="18" spans="7:12" x14ac:dyDescent="0.3">
      <c r="G18" s="2">
        <v>1</v>
      </c>
      <c r="H18" s="2">
        <v>40</v>
      </c>
      <c r="I18" s="2">
        <v>70</v>
      </c>
      <c r="J18" s="2">
        <v>10</v>
      </c>
      <c r="L18" s="3">
        <v>230</v>
      </c>
    </row>
    <row r="19" spans="7:12" x14ac:dyDescent="0.3">
      <c r="G19" s="2">
        <v>1</v>
      </c>
      <c r="H19" s="2">
        <v>50</v>
      </c>
      <c r="I19" s="2">
        <v>85</v>
      </c>
      <c r="J19" s="2">
        <v>12</v>
      </c>
      <c r="L19" s="3">
        <v>290</v>
      </c>
    </row>
    <row r="22" spans="7:12" x14ac:dyDescent="0.3">
      <c r="G22" s="12" t="s">
        <v>6</v>
      </c>
    </row>
    <row r="24" spans="7:12" x14ac:dyDescent="0.3">
      <c r="G24" s="3" cm="1">
        <f t="array" ref="G24:K27">TRANSPOSE(G15:J19)</f>
        <v>1</v>
      </c>
      <c r="H24" s="3">
        <v>1</v>
      </c>
      <c r="I24" s="3">
        <v>1</v>
      </c>
      <c r="J24" s="3">
        <v>1</v>
      </c>
      <c r="K24" s="3">
        <v>1</v>
      </c>
    </row>
    <row r="25" spans="7:12" x14ac:dyDescent="0.3">
      <c r="G25" s="3">
        <v>10</v>
      </c>
      <c r="H25" s="3">
        <v>20</v>
      </c>
      <c r="I25" s="3">
        <v>30</v>
      </c>
      <c r="J25" s="3">
        <v>40</v>
      </c>
      <c r="K25" s="3">
        <v>50</v>
      </c>
    </row>
    <row r="26" spans="7:12" x14ac:dyDescent="0.3">
      <c r="G26" s="3">
        <v>30</v>
      </c>
      <c r="H26" s="3">
        <v>45</v>
      </c>
      <c r="I26" s="3">
        <v>60</v>
      </c>
      <c r="J26" s="3">
        <v>70</v>
      </c>
      <c r="K26" s="3">
        <v>85</v>
      </c>
    </row>
    <row r="27" spans="7:12" x14ac:dyDescent="0.3">
      <c r="G27" s="3">
        <v>4</v>
      </c>
      <c r="H27" s="3">
        <v>6</v>
      </c>
      <c r="I27" s="3">
        <v>8</v>
      </c>
      <c r="J27" s="3">
        <v>10</v>
      </c>
      <c r="K27" s="3">
        <v>12</v>
      </c>
    </row>
    <row r="30" spans="7:12" x14ac:dyDescent="0.3">
      <c r="G30" s="12" t="s">
        <v>8</v>
      </c>
    </row>
    <row r="32" spans="7:12" x14ac:dyDescent="0.3">
      <c r="G32" s="3" cm="1">
        <f t="array" ref="G32:J35">MMULT(G24:K27,G15:J19)</f>
        <v>5</v>
      </c>
      <c r="H32" s="3">
        <v>150</v>
      </c>
      <c r="I32" s="3">
        <v>290</v>
      </c>
      <c r="J32" s="3">
        <v>40</v>
      </c>
    </row>
    <row r="33" spans="7:11" x14ac:dyDescent="0.3">
      <c r="G33" s="3">
        <v>150</v>
      </c>
      <c r="H33" s="3">
        <v>5500</v>
      </c>
      <c r="I33" s="3">
        <v>10050</v>
      </c>
      <c r="J33" s="3">
        <v>1400</v>
      </c>
    </row>
    <row r="34" spans="7:11" x14ac:dyDescent="0.3">
      <c r="G34" s="3">
        <v>290</v>
      </c>
      <c r="H34" s="3">
        <v>10050</v>
      </c>
      <c r="I34" s="3">
        <v>18650</v>
      </c>
      <c r="J34" s="3">
        <v>2590</v>
      </c>
    </row>
    <row r="35" spans="7:11" x14ac:dyDescent="0.3">
      <c r="G35" s="3">
        <v>40</v>
      </c>
      <c r="H35" s="3">
        <v>1400</v>
      </c>
      <c r="I35" s="3">
        <v>2590</v>
      </c>
      <c r="J35" s="3">
        <v>360</v>
      </c>
    </row>
    <row r="38" spans="7:11" x14ac:dyDescent="0.3">
      <c r="G38" s="13" t="s">
        <v>9</v>
      </c>
      <c r="H38" s="13"/>
      <c r="I38" s="4"/>
      <c r="J38" s="4"/>
    </row>
    <row r="39" spans="7:11" x14ac:dyDescent="0.3">
      <c r="G39" s="4"/>
      <c r="H39" s="4"/>
      <c r="I39" s="4"/>
      <c r="J39" s="4"/>
    </row>
    <row r="40" spans="7:11" x14ac:dyDescent="0.3">
      <c r="G40" s="3" cm="1">
        <f t="array" ref="G40:J43">MINVERSE(G32:J35)</f>
        <v>112589990684285.41</v>
      </c>
      <c r="H40" s="3">
        <v>11258999068427.406</v>
      </c>
      <c r="I40" s="3">
        <v>-2.4653645833332822</v>
      </c>
      <c r="J40" s="3">
        <v>-56294995342120.555</v>
      </c>
    </row>
    <row r="41" spans="7:11" x14ac:dyDescent="0.3">
      <c r="G41" s="3">
        <v>11258999068427.891</v>
      </c>
      <c r="H41" s="3">
        <v>1125899906842.7153</v>
      </c>
      <c r="I41" s="3">
        <v>-0.19320312499999598</v>
      </c>
      <c r="J41" s="3">
        <v>-5629499534212.2686</v>
      </c>
    </row>
    <row r="42" spans="7:11" x14ac:dyDescent="0.3">
      <c r="G42" s="3">
        <v>-1.1666666666666392</v>
      </c>
      <c r="H42" s="3">
        <v>-6.3333333333331965E-2</v>
      </c>
      <c r="I42" s="3">
        <v>0.13333333333333028</v>
      </c>
      <c r="J42" s="3">
        <v>-0.58333333333331971</v>
      </c>
    </row>
    <row r="43" spans="7:11" x14ac:dyDescent="0.3">
      <c r="G43" s="3">
        <v>-56294995342131.781</v>
      </c>
      <c r="H43" s="3">
        <v>-5629499534213.1494</v>
      </c>
      <c r="I43" s="3">
        <v>6.6015625000000674E-2</v>
      </c>
      <c r="J43" s="3">
        <v>28147497671065.305</v>
      </c>
    </row>
    <row r="46" spans="7:11" x14ac:dyDescent="0.3">
      <c r="G46" s="12" t="s">
        <v>10</v>
      </c>
      <c r="H46" s="12"/>
    </row>
    <row r="48" spans="7:11" x14ac:dyDescent="0.3">
      <c r="G48" s="3" cm="1">
        <f t="array" ref="G48:K51">MMULT(G40:J43,G24:K27)</f>
        <v>3.28125</v>
      </c>
      <c r="H48" s="3">
        <v>-0.75</v>
      </c>
      <c r="I48" s="3">
        <v>-4.75</v>
      </c>
      <c r="J48" s="3">
        <v>3.5</v>
      </c>
      <c r="K48" s="3">
        <v>-0.5</v>
      </c>
    </row>
    <row r="49" spans="7:11" x14ac:dyDescent="0.3">
      <c r="G49" s="3">
        <v>0.171875</v>
      </c>
      <c r="H49" s="3">
        <v>-0.109375</v>
      </c>
      <c r="I49" s="3">
        <v>-0.390625</v>
      </c>
      <c r="J49" s="3">
        <v>0.2890625</v>
      </c>
      <c r="K49" s="3">
        <v>1.5625E-2</v>
      </c>
    </row>
    <row r="50" spans="7:11" x14ac:dyDescent="0.3">
      <c r="G50" s="3">
        <v>-0.13333333333332931</v>
      </c>
      <c r="H50" s="3">
        <v>6.6666666666665542E-2</v>
      </c>
      <c r="I50" s="3">
        <v>0.26666666666666128</v>
      </c>
      <c r="J50" s="3">
        <v>-0.19999999999999574</v>
      </c>
      <c r="K50" s="3">
        <v>-8.8817841970012523E-16</v>
      </c>
    </row>
    <row r="51" spans="7:11" x14ac:dyDescent="0.3">
      <c r="G51" s="3">
        <v>-7.8125E-2</v>
      </c>
      <c r="H51" s="3">
        <v>3.125E-2</v>
      </c>
      <c r="I51" s="3">
        <v>0.15625</v>
      </c>
      <c r="J51" s="3">
        <v>-6.25E-2</v>
      </c>
      <c r="K51" s="3">
        <v>0</v>
      </c>
    </row>
    <row r="53" spans="7:11" x14ac:dyDescent="0.3">
      <c r="G53" s="12" t="s">
        <v>11</v>
      </c>
      <c r="H53" s="12"/>
    </row>
    <row r="56" spans="7:11" x14ac:dyDescent="0.3">
      <c r="G56" s="14" t="s">
        <v>12</v>
      </c>
      <c r="H56" s="14"/>
    </row>
    <row r="58" spans="7:11" x14ac:dyDescent="0.3">
      <c r="G58" s="3" t="s">
        <v>13</v>
      </c>
      <c r="H58" s="3"/>
      <c r="I58" s="3" cm="1">
        <f t="array" ref="I58:I61">MMULT(G48:K51,L15:L19)</f>
        <v>-0.9375</v>
      </c>
    </row>
    <row r="59" spans="7:11" x14ac:dyDescent="0.3">
      <c r="G59" s="3" t="s">
        <v>14</v>
      </c>
      <c r="H59" s="3"/>
      <c r="I59" s="3">
        <v>1.40625</v>
      </c>
    </row>
    <row r="60" spans="7:11" x14ac:dyDescent="0.3">
      <c r="G60" s="3" t="s">
        <v>15</v>
      </c>
      <c r="H60" s="3"/>
      <c r="I60" s="3">
        <v>-1.0000000000000302</v>
      </c>
    </row>
    <row r="61" spans="7:11" x14ac:dyDescent="0.3">
      <c r="G61" s="3" t="s">
        <v>16</v>
      </c>
      <c r="H61" s="3"/>
      <c r="I61" s="3">
        <v>10.9375</v>
      </c>
    </row>
    <row r="64" spans="7:11" x14ac:dyDescent="0.3">
      <c r="G64" s="12" t="s">
        <v>17</v>
      </c>
    </row>
    <row r="65" spans="7:8" x14ac:dyDescent="0.3">
      <c r="G65" t="s">
        <v>18</v>
      </c>
    </row>
    <row r="66" spans="7:8" x14ac:dyDescent="0.3">
      <c r="G66" t="s">
        <v>19</v>
      </c>
    </row>
    <row r="68" spans="7:8" x14ac:dyDescent="0.3">
      <c r="G68" s="5" t="s">
        <v>20</v>
      </c>
      <c r="H68" s="6"/>
    </row>
    <row r="69" spans="7:8" x14ac:dyDescent="0.3">
      <c r="G69" s="5" t="s">
        <v>21</v>
      </c>
      <c r="H69" s="6"/>
    </row>
    <row r="70" spans="7:8" x14ac:dyDescent="0.3">
      <c r="G70" s="5" t="s">
        <v>22</v>
      </c>
      <c r="H70" s="6"/>
    </row>
    <row r="71" spans="7:8" x14ac:dyDescent="0.3">
      <c r="G71" s="7" t="s">
        <v>23</v>
      </c>
      <c r="H71" s="7"/>
    </row>
    <row r="74" spans="7:8" x14ac:dyDescent="0.3">
      <c r="G74" s="8" t="s">
        <v>24</v>
      </c>
      <c r="H74" s="1" t="s">
        <v>25</v>
      </c>
    </row>
    <row r="75" spans="7:8" x14ac:dyDescent="0.3">
      <c r="G75" s="9" t="s">
        <v>26</v>
      </c>
      <c r="H75" s="2">
        <v>35</v>
      </c>
    </row>
    <row r="76" spans="7:8" x14ac:dyDescent="0.3">
      <c r="G76" s="9" t="s">
        <v>27</v>
      </c>
      <c r="H76" s="10">
        <v>0.65</v>
      </c>
    </row>
    <row r="77" spans="7:8" x14ac:dyDescent="0.3">
      <c r="G77" s="9" t="s">
        <v>28</v>
      </c>
      <c r="H77" s="2">
        <v>9</v>
      </c>
    </row>
    <row r="80" spans="7:8" x14ac:dyDescent="0.3">
      <c r="G80" s="8" t="s">
        <v>29</v>
      </c>
      <c r="H80" s="1" t="s">
        <v>25</v>
      </c>
    </row>
    <row r="81" spans="7:11" x14ac:dyDescent="0.3">
      <c r="G81" s="9" t="s">
        <v>30</v>
      </c>
      <c r="H81" s="2">
        <f>I58+I59*H75+I60*H76+I61*H77</f>
        <v>146.06874999999997</v>
      </c>
      <c r="I81" t="s">
        <v>31</v>
      </c>
    </row>
    <row r="84" spans="7:11" x14ac:dyDescent="0.3">
      <c r="G84" s="15" t="s">
        <v>32</v>
      </c>
      <c r="H84" s="15"/>
      <c r="I84" s="15"/>
      <c r="J84" s="15"/>
      <c r="K84" s="15"/>
    </row>
  </sheetData>
  <mergeCells count="5">
    <mergeCell ref="G38:H38"/>
    <mergeCell ref="G56:H56"/>
    <mergeCell ref="G68:H68"/>
    <mergeCell ref="G69:H69"/>
    <mergeCell ref="G70:H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Gutierrez Morales</dc:creator>
  <cp:lastModifiedBy>Alex Gutierrez Morales</cp:lastModifiedBy>
  <dcterms:created xsi:type="dcterms:W3CDTF">2026-05-13T03:33:37Z</dcterms:created>
  <dcterms:modified xsi:type="dcterms:W3CDTF">2026-05-13T04:05:14Z</dcterms:modified>
</cp:coreProperties>
</file>